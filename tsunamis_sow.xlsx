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showInkAnnotation="0" autoCompressPictures="0"/>
  <mc:AlternateContent xmlns:mc="http://schemas.openxmlformats.org/markup-compatibility/2006">
    <mc:Choice Requires="x15">
      <x15ac:absPath xmlns:x15ac="http://schemas.microsoft.com/office/spreadsheetml/2010/11/ac" url="/Users/aedwards/ae/Teach/2740/251201_A8_XULA/"/>
    </mc:Choice>
  </mc:AlternateContent>
  <xr:revisionPtr revIDLastSave="0" documentId="13_ncr:1_{7B282EB7-F80E-0F4F-9E30-6B909165937D}" xr6:coauthVersionLast="47" xr6:coauthVersionMax="47" xr10:uidLastSave="{00000000-0000-0000-0000-000000000000}"/>
  <bookViews>
    <workbookView xWindow="12660" yWindow="620" windowWidth="28580" windowHeight="20940" tabRatio="500" xr2:uid="{00000000-000D-0000-FFFF-FFFF00000000}"/>
  </bookViews>
  <sheets>
    <sheet name="Tsunamis" sheetId="10" r:id="rId1"/>
    <sheet name="-Disclaimer-" sheetId="2" r:id="rId2"/>
  </sheets>
  <definedNames>
    <definedName name="_xlnm.Print_Area" localSheetId="0">Tsunamis!$B$1:$I$65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9" i="10" l="1"/>
  <c r="F8" i="10"/>
  <c r="G8" i="10"/>
  <c r="H20" i="10"/>
  <c r="H21" i="10"/>
  <c r="H23" i="10"/>
  <c r="H34" i="10"/>
  <c r="H35" i="10"/>
  <c r="H37" i="10"/>
  <c r="H48" i="10"/>
  <c r="H49" i="10"/>
  <c r="G50" i="10" l="1"/>
  <c r="F50" i="10"/>
  <c r="H50" i="10" s="1"/>
  <c r="G22" i="10"/>
  <c r="F22" i="10"/>
  <c r="F36" i="10"/>
  <c r="G36" i="10"/>
  <c r="H5" i="10"/>
  <c r="H22" i="10" l="1"/>
  <c r="H36" i="10"/>
  <c r="H8" i="10"/>
</calcChain>
</file>

<file path=xl/sharedStrings.xml><?xml version="1.0" encoding="utf-8"?>
<sst xmlns="http://schemas.openxmlformats.org/spreadsheetml/2006/main" count="55" uniqueCount="37">
  <si>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</si>
  <si>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</si>
  <si>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 Progress</t>
  </si>
  <si>
    <t>On Hold</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</si>
  <si>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</si>
  <si>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</si>
  <si>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</si>
  <si>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</si>
  <si>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</si>
  <si>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</si>
  <si>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</si>
  <si>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</si>
  <si>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</si>
  <si>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</si>
  <si>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Use Cases</t>
  </si>
  <si>
    <t>Nov 26th: 36 commits, +337, -250</t>
  </si>
  <si>
    <t>Evaluate team using Brightspace survey</t>
  </si>
  <si>
    <t xml:space="preserve">Evaluate Dr. Edwards via Class Climate </t>
  </si>
  <si>
    <t>https://www.smartsheet.com/top-project-management-excel-templates?srsltid=AfmBOorM8KTqo0GkEazFKhVFp3ozfOh-BifeI1KKxQxM0WpR5p08gBRL</t>
  </si>
  <si>
    <t>What is this use case's user story number?  If no user story, make sure you add this as a user story in our final sprint.</t>
  </si>
  <si>
    <t>Tsunamis Statement of Work</t>
  </si>
  <si>
    <t>Help Desk</t>
  </si>
  <si>
    <t>Eric</t>
  </si>
  <si>
    <t>Jayce</t>
  </si>
  <si>
    <t>Tre'sure</t>
  </si>
  <si>
    <t>Vacant</t>
  </si>
  <si>
    <t>Eric (Lead), Jayce (Tester), Tre'sure (SWE), no Designer</t>
  </si>
  <si>
    <r>
      <rPr>
        <sz val="11"/>
        <color rgb="FFFF0000"/>
        <rFont val="Century Gothic"/>
        <family val="1"/>
      </rPr>
      <t>#</t>
    </r>
    <r>
      <rPr>
        <sz val="11"/>
        <color theme="1"/>
        <rFont val="Century Gothic"/>
        <family val="1"/>
      </rPr>
      <t xml:space="preserve"> Update README with prioritized projects</t>
    </r>
  </si>
  <si>
    <t>SHA b6fa387</t>
  </si>
  <si>
    <t>SHA 9eaf8aa</t>
  </si>
  <si>
    <r>
      <rPr>
        <sz val="11"/>
        <color rgb="FFFF0000"/>
        <rFont val="Century Gothic"/>
        <family val="1"/>
      </rPr>
      <t>#</t>
    </r>
    <r>
      <rPr>
        <sz val="11"/>
        <color theme="1"/>
        <rFont val="Century Gothic"/>
        <family val="1"/>
      </rPr>
      <t xml:space="preserve"> Create initial driver and Scraper class to scrape (unprocessed) academic calendar</t>
    </r>
  </si>
  <si>
    <t>SHA e45fb67, 064665a, 62aa1ef</t>
  </si>
  <si>
    <r>
      <rPr>
        <sz val="11"/>
        <color rgb="FFFF0000"/>
        <rFont val="Century Gothic"/>
        <family val="1"/>
      </rPr>
      <t xml:space="preserve"># </t>
    </r>
    <r>
      <rPr>
        <sz val="11"/>
        <color theme="1"/>
        <rFont val="Century Gothic"/>
        <family val="1"/>
      </rPr>
      <t>Create Course data class (strangely your data class includes 2 functions that should be in the Course class), also called in the driver</t>
    </r>
  </si>
  <si>
    <t>Project Development Team</t>
  </si>
  <si>
    <t>Nov 26th: 9 commits, +176, -15</t>
  </si>
  <si>
    <t>Nov 26th: 5 commits, +616, -2</t>
  </si>
  <si>
    <t>You and Eric need to figure out why Jayce is listed as a Contributor on our shared repo but tresurent is not.  Tre'sure can't earn points on this assignment unless she is a contributor to our shared repo.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</si>
</sst>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20"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
      <b/>
      <sz val="10"/>
      <color rgb="FFFF0000"/>
      <name val="Century Gothic"/>
      <family val="1"/>
    </font>
  </fonts>
  <fills count="1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80">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0" fontId="19" fillId="2" borderId="0" xfId="0" applyFont="1" applyFill="1"/>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007134"/>
      <color rgb="FFA2D072"/>
      <color rgb="FFB3E481"/>
      <color rgb="FFD1EEFF"/>
      <color rgb="FF001033"/>
      <color rgb="FF03C15A"/>
      <color rgb="FFEAEEF3"/>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Tsunamis!$F$7</c:f>
              <c:strCache>
                <c:ptCount val="1"/>
                <c:pt idx="0">
                  <c:v>Start Date</c:v>
                </c:pt>
              </c:strCache>
            </c:strRef>
          </c:tx>
          <c:spPr>
            <a:noFill/>
            <a:ln>
              <a:noFill/>
            </a:ln>
            <a:effectLst/>
          </c:spPr>
          <c:invertIfNegative val="0"/>
          <c:cat>
            <c:strRef>
              <c:f>Tsunamis!$C$8:$C$63</c:f>
              <c:strCache>
                <c:ptCount val="43"/>
                <c:pt idx="0">
                  <c:v>Eric</c:v>
                </c:pt>
                <c:pt idx="1">
                  <c:v># Update README with prioritized projects</c:v>
                </c:pt>
                <c:pt idx="12">
                  <c:v>Evaluate Dr. Edwards via Class Climate </c:v>
                </c:pt>
                <c:pt idx="13">
                  <c:v>Evaluate team using Brightspace survey</c:v>
                </c:pt>
                <c:pt idx="14">
                  <c:v>Jayce</c:v>
                </c:pt>
                <c:pt idx="15">
                  <c:v># Create initial driver and Scraper class to scrape (unprocessed) academic calendar</c:v>
                </c:pt>
                <c:pt idx="26">
                  <c:v>Evaluate Dr. Edwards via Class Climate </c:v>
                </c:pt>
                <c:pt idx="27">
                  <c:v>Evaluate team using Brightspace survey</c:v>
                </c:pt>
                <c:pt idx="28">
                  <c:v>Tre'sure</c:v>
                </c:pt>
                <c:pt idx="29">
                  <c:v># Create Course data class (strangely your data class includes 2 functions that should be in the Course class), also called in the driver</c:v>
                </c:pt>
                <c:pt idx="40">
                  <c:v>Evaluate Dr. Edwards via Class Climate </c:v>
                </c:pt>
                <c:pt idx="41">
                  <c:v>Evaluate team using Brightspace survey</c:v>
                </c:pt>
                <c:pt idx="42">
                  <c:v>Vacant</c:v>
                </c:pt>
              </c:strCache>
            </c:strRef>
          </c:cat>
          <c:val>
            <c:numRef>
              <c:f>Tsunamis!$F$8:$F$63</c:f>
              <c:numCache>
                <c:formatCode>m/d;@</c:formatCode>
                <c:ptCount val="56"/>
                <c:pt idx="0">
                  <c:v>45972</c:v>
                </c:pt>
                <c:pt idx="1">
                  <c:v>45972</c:v>
                </c:pt>
                <c:pt idx="12">
                  <c:v>45983</c:v>
                </c:pt>
                <c:pt idx="13">
                  <c:v>45992</c:v>
                </c:pt>
                <c:pt idx="14">
                  <c:v>45981</c:v>
                </c:pt>
                <c:pt idx="15">
                  <c:v>45981</c:v>
                </c:pt>
                <c:pt idx="26">
                  <c:v>45983</c:v>
                </c:pt>
                <c:pt idx="27">
                  <c:v>45992</c:v>
                </c:pt>
                <c:pt idx="28">
                  <c:v>45973</c:v>
                </c:pt>
                <c:pt idx="29">
                  <c:v>45973</c:v>
                </c:pt>
                <c:pt idx="40">
                  <c:v>45983</c:v>
                </c:pt>
                <c:pt idx="41">
                  <c:v>45992</c:v>
                </c:pt>
                <c:pt idx="42">
                  <c:v>0</c:v>
                </c:pt>
              </c:numCache>
            </c:numRef>
          </c:val>
          <c:extLst>
            <c:ext xmlns:c16="http://schemas.microsoft.com/office/drawing/2014/chart" uri="{C3380CC4-5D6E-409C-BE32-E72D297353CC}">
              <c16:uniqueId val="{00000000-8C3B-6B4E-8271-047982C56358}"/>
            </c:ext>
          </c:extLst>
        </c:ser>
        <c:ser>
          <c:idx val="1"/>
          <c:order val="1"/>
          <c:tx>
            <c:strRef>
              <c:f>Tsunamis!$H$7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Tsunamis!$C$8:$C$63</c:f>
              <c:strCache>
                <c:ptCount val="43"/>
                <c:pt idx="0">
                  <c:v>Eric</c:v>
                </c:pt>
                <c:pt idx="1">
                  <c:v># Update README with prioritized projects</c:v>
                </c:pt>
                <c:pt idx="12">
                  <c:v>Evaluate Dr. Edwards via Class Climate </c:v>
                </c:pt>
                <c:pt idx="13">
                  <c:v>Evaluate team using Brightspace survey</c:v>
                </c:pt>
                <c:pt idx="14">
                  <c:v>Jayce</c:v>
                </c:pt>
                <c:pt idx="15">
                  <c:v># Create initial driver and Scraper class to scrape (unprocessed) academic calendar</c:v>
                </c:pt>
                <c:pt idx="26">
                  <c:v>Evaluate Dr. Edwards via Class Climate </c:v>
                </c:pt>
                <c:pt idx="27">
                  <c:v>Evaluate team using Brightspace survey</c:v>
                </c:pt>
                <c:pt idx="28">
                  <c:v>Tre'sure</c:v>
                </c:pt>
                <c:pt idx="29">
                  <c:v># Create Course data class (strangely your data class includes 2 functions that should be in the Course class), also called in the driver</c:v>
                </c:pt>
                <c:pt idx="40">
                  <c:v>Evaluate Dr. Edwards via Class Climate </c:v>
                </c:pt>
                <c:pt idx="41">
                  <c:v>Evaluate team using Brightspace survey</c:v>
                </c:pt>
                <c:pt idx="42">
                  <c:v>Vacant</c:v>
                </c:pt>
              </c:strCache>
            </c:strRef>
          </c:cat>
          <c:val>
            <c:numRef>
              <c:f>Tsunamis!$H$8:$H$63</c:f>
              <c:numCache>
                <c:formatCode>0</c:formatCode>
                <c:ptCount val="56"/>
                <c:pt idx="0">
                  <c:v>28</c:v>
                </c:pt>
                <c:pt idx="1">
                  <c:v>1</c:v>
                </c:pt>
                <c:pt idx="12">
                  <c:v>17</c:v>
                </c:pt>
                <c:pt idx="13">
                  <c:v>1</c:v>
                </c:pt>
                <c:pt idx="14">
                  <c:v>19</c:v>
                </c:pt>
                <c:pt idx="15">
                  <c:v>1</c:v>
                </c:pt>
                <c:pt idx="26">
                  <c:v>17</c:v>
                </c:pt>
                <c:pt idx="27">
                  <c:v>1</c:v>
                </c:pt>
                <c:pt idx="28" formatCode="General">
                  <c:v>27</c:v>
                </c:pt>
                <c:pt idx="29">
                  <c:v>3</c:v>
                </c:pt>
                <c:pt idx="40">
                  <c:v>17</c:v>
                </c:pt>
                <c:pt idx="41">
                  <c:v>1</c:v>
                </c:pt>
                <c:pt idx="42" formatCode="General">
                  <c:v>0</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241300</xdr:colOff>
      <xdr:row>63</xdr:row>
      <xdr:rowOff>114300</xdr:rowOff>
    </xdr:from>
    <xdr:to>
      <xdr:col>8</xdr:col>
      <xdr:colOff>3860800</xdr:colOff>
      <xdr:row>65</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12700</xdr:colOff>
      <xdr:row>12</xdr:row>
      <xdr:rowOff>63500</xdr:rowOff>
    </xdr:from>
    <xdr:to>
      <xdr:col>19</xdr:col>
      <xdr:colOff>101600</xdr:colOff>
      <xdr:row>17</xdr:row>
      <xdr:rowOff>101600</xdr:rowOff>
    </xdr:to>
    <xdr:pic>
      <xdr:nvPicPr>
        <xdr:cNvPr id="7" name="Picture 6">
          <a:extLst>
            <a:ext uri="{FF2B5EF4-FFF2-40B4-BE49-F238E27FC236}">
              <a16:creationId xmlns:a16="http://schemas.microsoft.com/office/drawing/2014/main" id="{CE959E3E-23AE-2E84-66D6-B6C28F8E32F4}"/>
            </a:ext>
          </a:extLst>
        </xdr:cNvPr>
        <xdr:cNvPicPr>
          <a:picLocks noChangeAspect="1"/>
        </xdr:cNvPicPr>
      </xdr:nvPicPr>
      <xdr:blipFill>
        <a:blip xmlns:r="http://schemas.openxmlformats.org/officeDocument/2006/relationships" r:embed="rId2"/>
        <a:stretch>
          <a:fillRect/>
        </a:stretch>
      </xdr:blipFill>
      <xdr:spPr>
        <a:xfrm>
          <a:off x="15671800" y="4241800"/>
          <a:ext cx="7620000" cy="1625600"/>
        </a:xfrm>
        <a:prstGeom prst="rect">
          <a:avLst/>
        </a:prstGeom>
      </xdr:spPr>
    </xdr:pic>
    <xdr:clientData/>
  </xdr:twoCellAnchor>
  <xdr:twoCellAnchor editAs="oneCell">
    <xdr:from>
      <xdr:col>9</xdr:col>
      <xdr:colOff>228600</xdr:colOff>
      <xdr:row>25</xdr:row>
      <xdr:rowOff>50800</xdr:rowOff>
    </xdr:from>
    <xdr:to>
      <xdr:col>19</xdr:col>
      <xdr:colOff>63500</xdr:colOff>
      <xdr:row>30</xdr:row>
      <xdr:rowOff>88900</xdr:rowOff>
    </xdr:to>
    <xdr:pic>
      <xdr:nvPicPr>
        <xdr:cNvPr id="8" name="Picture 7">
          <a:extLst>
            <a:ext uri="{FF2B5EF4-FFF2-40B4-BE49-F238E27FC236}">
              <a16:creationId xmlns:a16="http://schemas.microsoft.com/office/drawing/2014/main" id="{F6740DC9-C1AD-8861-A1CC-D7D8B2588AAC}"/>
            </a:ext>
          </a:extLst>
        </xdr:cNvPr>
        <xdr:cNvPicPr>
          <a:picLocks noChangeAspect="1"/>
        </xdr:cNvPicPr>
      </xdr:nvPicPr>
      <xdr:blipFill>
        <a:blip xmlns:r="http://schemas.openxmlformats.org/officeDocument/2006/relationships" r:embed="rId3"/>
        <a:stretch>
          <a:fillRect/>
        </a:stretch>
      </xdr:blipFill>
      <xdr:spPr>
        <a:xfrm>
          <a:off x="15633700" y="84201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09"/>
  <sheetViews>
    <sheetView showGridLines="0" tabSelected="1" topLeftCell="C1" workbookViewId="0">
      <pane ySplit="1" topLeftCell="A2" activePane="bottomLeft" state="frozen"/>
      <selection pane="bottomLeft" activeCell="W59" sqref="W59"/>
    </sheetView>
  </sheetViews>
  <sheetFormatPr baseColWidth="10" defaultColWidth="11" defaultRowHeight="13" outlineLevelRow="1" x14ac:dyDescent="0.15"/>
  <cols>
    <col min="1" max="1" width="3.33203125" style="7" customWidth="1"/>
    <col min="2" max="2" width="7.83203125" style="7" customWidth="1"/>
    <col min="3" max="3" width="57" style="7" bestFit="1" customWidth="1"/>
    <col min="4" max="4" width="12.83203125" style="7" customWidth="1"/>
    <col min="5" max="5" width="22.33203125" style="7" bestFit="1" customWidth="1"/>
    <col min="6" max="6" width="12.6640625" style="39" customWidth="1"/>
    <col min="7" max="7" width="11.83203125" style="39" customWidth="1"/>
    <col min="8" max="8" width="10.6640625" style="7" customWidth="1"/>
    <col min="9" max="9" width="63.6640625" style="7" customWidth="1"/>
    <col min="10" max="10" width="3.33203125" style="7" customWidth="1"/>
    <col min="11" max="11" width="12.83203125" style="7" customWidth="1"/>
    <col min="12" max="17" width="11" style="7"/>
    <col min="18" max="18" width="9" style="7" customWidth="1"/>
    <col min="19" max="22" width="11" style="7"/>
    <col min="23" max="23" width="51.83203125" style="7" customWidth="1"/>
    <col min="24" max="16384" width="11" style="7"/>
  </cols>
  <sheetData>
    <row r="1" spans="1:258" ht="57" customHeight="1" x14ac:dyDescent="0.2">
      <c r="A1" s="1"/>
      <c r="B1" s="29" t="s">
        <v>20</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
      <c r="A2" s="18"/>
      <c r="B2" s="18"/>
      <c r="C2" s="18" t="s">
        <v>6</v>
      </c>
      <c r="D2" s="18"/>
      <c r="E2" s="18" t="s">
        <v>8</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2">
      <c r="A3" s="1"/>
      <c r="B3" s="1"/>
      <c r="C3" s="21" t="s">
        <v>21</v>
      </c>
      <c r="D3" s="1"/>
      <c r="E3" s="27">
        <v>45970</v>
      </c>
      <c r="F3" s="36"/>
      <c r="G3" s="36"/>
      <c r="H3" s="1" t="s">
        <v>9</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25">
      <c r="A4" s="18"/>
      <c r="B4" s="18"/>
      <c r="C4" s="22" t="s">
        <v>33</v>
      </c>
      <c r="D4" s="18"/>
      <c r="E4" s="22" t="s">
        <v>7</v>
      </c>
      <c r="F4" s="35"/>
      <c r="G4" s="35"/>
      <c r="H4" s="18" t="s">
        <v>5</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2">
      <c r="A5" s="1"/>
      <c r="B5" s="1"/>
      <c r="C5" s="26" t="s">
        <v>26</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 customHeight="1" thickBot="1" x14ac:dyDescent="0.25">
      <c r="A7" s="10"/>
      <c r="B7" s="24"/>
      <c r="C7" s="24" t="s">
        <v>13</v>
      </c>
      <c r="D7" s="24" t="s">
        <v>11</v>
      </c>
      <c r="E7" s="24" t="s">
        <v>14</v>
      </c>
      <c r="F7" s="37" t="s">
        <v>8</v>
      </c>
      <c r="G7" s="38" t="s">
        <v>7</v>
      </c>
      <c r="H7" s="32" t="s">
        <v>12</v>
      </c>
      <c r="I7" s="24" t="s">
        <v>10</v>
      </c>
      <c r="J7" s="10"/>
      <c r="K7" s="31" t="s">
        <v>11</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5" customHeight="1" x14ac:dyDescent="0.2">
      <c r="A8" s="47"/>
      <c r="B8" s="62"/>
      <c r="C8" s="63" t="s">
        <v>22</v>
      </c>
      <c r="D8" s="25"/>
      <c r="E8" s="25"/>
      <c r="F8" s="64">
        <f>MIN(F9:F21)</f>
        <v>45972</v>
      </c>
      <c r="G8" s="65">
        <f>MAX(G9:G21)</f>
        <v>45999</v>
      </c>
      <c r="H8" s="66">
        <f>IF(F8=0,0,G8-F8)+1</f>
        <v>28</v>
      </c>
      <c r="I8" s="25"/>
      <c r="J8" s="47"/>
      <c r="K8" s="67" t="s">
        <v>4</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28" outlineLevel="1" x14ac:dyDescent="0.2">
      <c r="A9" s="8"/>
      <c r="B9" s="2"/>
      <c r="C9" s="14" t="s">
        <v>27</v>
      </c>
      <c r="D9" s="3" t="s">
        <v>3</v>
      </c>
      <c r="E9" s="4" t="s">
        <v>28</v>
      </c>
      <c r="F9" s="40">
        <v>45972</v>
      </c>
      <c r="G9" s="40">
        <v>45972</v>
      </c>
      <c r="H9" s="45">
        <f t="shared" ref="H9" si="0">IF(OR(F9=0, ISBLANK(F9)),0,G9-F9+1)</f>
        <v>1</v>
      </c>
      <c r="I9" s="78" t="s">
        <v>19</v>
      </c>
      <c r="J9" s="8"/>
      <c r="K9" s="30" t="s">
        <v>2</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 customHeight="1" outlineLevel="1" x14ac:dyDescent="0.2">
      <c r="A10" s="8"/>
      <c r="B10" s="2"/>
      <c r="C10" s="14"/>
      <c r="D10" s="3"/>
      <c r="E10" s="4"/>
      <c r="F10" s="40"/>
      <c r="G10" s="40"/>
      <c r="H10" s="45"/>
      <c r="I10" s="2"/>
      <c r="J10" s="8"/>
      <c r="K10" s="3" t="s">
        <v>0</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 customHeight="1" outlineLevel="1" x14ac:dyDescent="0.2">
      <c r="A11" s="8"/>
      <c r="B11" s="2"/>
      <c r="C11" s="14"/>
      <c r="D11" s="3"/>
      <c r="E11" s="4"/>
      <c r="F11" s="40"/>
      <c r="G11" s="40"/>
      <c r="H11" s="45"/>
      <c r="I11" s="2"/>
      <c r="J11" s="8"/>
      <c r="K11" s="12" t="s">
        <v>3</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 customHeight="1" outlineLevel="1" x14ac:dyDescent="0.15">
      <c r="A12" s="8"/>
      <c r="B12" s="2"/>
      <c r="C12" s="14"/>
      <c r="D12" s="3"/>
      <c r="E12" s="4"/>
      <c r="F12" s="40"/>
      <c r="G12" s="40"/>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 customHeight="1" outlineLevel="1" x14ac:dyDescent="0.15">
      <c r="A13" s="8"/>
      <c r="B13" s="2"/>
      <c r="C13" s="14"/>
      <c r="D13" s="3"/>
      <c r="E13" s="4"/>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 customHeight="1" outlineLevel="1" x14ac:dyDescent="0.15">
      <c r="A14" s="8"/>
      <c r="B14" s="2"/>
      <c r="C14" s="14"/>
      <c r="D14" s="3"/>
      <c r="E14" s="20"/>
      <c r="F14" s="40"/>
      <c r="G14" s="40"/>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 customHeight="1" outlineLevel="1" x14ac:dyDescent="0.15">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 customHeight="1" outlineLevel="1" x14ac:dyDescent="0.15">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 customHeight="1" outlineLevel="1" x14ac:dyDescent="0.15">
      <c r="A17" s="8"/>
      <c r="B17" s="2"/>
      <c r="C17" s="14"/>
      <c r="D17" s="3"/>
      <c r="E17" s="20"/>
      <c r="F17" s="40"/>
      <c r="G17" s="40"/>
      <c r="H17" s="45"/>
      <c r="I17" s="2"/>
      <c r="J17" s="8"/>
      <c r="K17" s="1"/>
      <c r="L17" s="8"/>
      <c r="M17" s="8"/>
      <c r="N17" s="8"/>
      <c r="O17" s="8"/>
      <c r="P17" s="8"/>
      <c r="Q17" s="8"/>
      <c r="R17" s="8"/>
      <c r="S17" s="8"/>
      <c r="T17" s="8"/>
      <c r="U17" s="8"/>
      <c r="V17" s="8"/>
      <c r="W17" s="8" t="s">
        <v>35</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 customHeight="1" outlineLevel="1" x14ac:dyDescent="0.15">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 customHeight="1" outlineLevel="1" x14ac:dyDescent="0.15">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 customHeight="1" outlineLevel="1" x14ac:dyDescent="0.15">
      <c r="A20" s="8"/>
      <c r="B20" s="2"/>
      <c r="C20" s="14" t="s">
        <v>17</v>
      </c>
      <c r="D20" s="3" t="s">
        <v>4</v>
      </c>
      <c r="E20" s="13"/>
      <c r="F20" s="40">
        <v>45983</v>
      </c>
      <c r="G20" s="40">
        <v>45999</v>
      </c>
      <c r="H20" s="45">
        <f t="shared" ref="H20:H50" si="1">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 customHeight="1" outlineLevel="1" thickBot="1" x14ac:dyDescent="0.2">
      <c r="A21" s="8"/>
      <c r="B21" s="16"/>
      <c r="C21" s="14" t="s">
        <v>16</v>
      </c>
      <c r="D21" s="15" t="s">
        <v>4</v>
      </c>
      <c r="E21" s="17"/>
      <c r="F21" s="42">
        <v>45992</v>
      </c>
      <c r="G21" s="43">
        <v>45992</v>
      </c>
      <c r="H21" s="45">
        <f t="shared" si="1"/>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5" customHeight="1" x14ac:dyDescent="0.15">
      <c r="A22" s="47"/>
      <c r="B22" s="56"/>
      <c r="C22" s="56" t="s">
        <v>23</v>
      </c>
      <c r="D22" s="57"/>
      <c r="E22" s="58"/>
      <c r="F22" s="59">
        <f>MIN(F23:F35)</f>
        <v>45981</v>
      </c>
      <c r="G22" s="60">
        <f>MAX(G23:G35)</f>
        <v>45999</v>
      </c>
      <c r="H22" s="76">
        <f t="shared" si="1"/>
        <v>19</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30" outlineLevel="1" x14ac:dyDescent="0.15">
      <c r="A23" s="8"/>
      <c r="B23" s="2"/>
      <c r="C23" s="14" t="s">
        <v>30</v>
      </c>
      <c r="D23" s="3" t="s">
        <v>3</v>
      </c>
      <c r="E23" s="13" t="s">
        <v>29</v>
      </c>
      <c r="F23" s="40">
        <v>45981</v>
      </c>
      <c r="G23" s="40">
        <v>45981</v>
      </c>
      <c r="H23" s="46">
        <f t="shared" si="1"/>
        <v>1</v>
      </c>
      <c r="I23" s="78" t="s">
        <v>19</v>
      </c>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 customHeight="1" outlineLevel="1" x14ac:dyDescent="0.15">
      <c r="A24" s="8"/>
      <c r="B24" s="2"/>
      <c r="C24" s="14"/>
      <c r="D24" s="3"/>
      <c r="E24" s="13"/>
      <c r="F24" s="40"/>
      <c r="G24" s="40"/>
      <c r="H24" s="46"/>
      <c r="I24" s="2"/>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 customHeight="1" outlineLevel="1" x14ac:dyDescent="0.15">
      <c r="A25" s="8"/>
      <c r="B25" s="2"/>
      <c r="C25" s="14"/>
      <c r="D25" s="3"/>
      <c r="E25" s="13"/>
      <c r="F25" s="40"/>
      <c r="G25" s="40"/>
      <c r="H25" s="46"/>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 customHeight="1" outlineLevel="1" x14ac:dyDescent="0.15">
      <c r="A26" s="8"/>
      <c r="B26" s="2"/>
      <c r="C26" s="14"/>
      <c r="D26" s="3"/>
      <c r="E26" s="13"/>
      <c r="F26" s="40"/>
      <c r="G26" s="40"/>
      <c r="H26" s="46"/>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 customHeight="1" outlineLevel="1" x14ac:dyDescent="0.15">
      <c r="A27" s="8"/>
      <c r="B27" s="2"/>
      <c r="C27" s="14"/>
      <c r="D27" s="3"/>
      <c r="E27" s="13"/>
      <c r="F27" s="40"/>
      <c r="G27" s="40"/>
      <c r="H27" s="46"/>
      <c r="I27" s="2"/>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 customHeight="1" outlineLevel="1" x14ac:dyDescent="0.15">
      <c r="A28" s="8"/>
      <c r="B28" s="2"/>
      <c r="C28" s="14"/>
      <c r="D28" s="3"/>
      <c r="E28" s="13"/>
      <c r="F28" s="40"/>
      <c r="G28" s="40"/>
      <c r="H28" s="46"/>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 customHeight="1" outlineLevel="1" x14ac:dyDescent="0.15">
      <c r="A29" s="8"/>
      <c r="B29" s="2"/>
      <c r="C29" s="14"/>
      <c r="D29" s="3"/>
      <c r="E29" s="13"/>
      <c r="F29" s="40"/>
      <c r="G29" s="40"/>
      <c r="H29" s="46"/>
      <c r="I29" s="2"/>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 customHeight="1" outlineLevel="1" x14ac:dyDescent="0.15">
      <c r="A30" s="8"/>
      <c r="B30" s="2"/>
      <c r="C30" s="14"/>
      <c r="D30" s="3"/>
      <c r="E30" s="13"/>
      <c r="F30" s="40"/>
      <c r="G30" s="40"/>
      <c r="H30" s="46"/>
      <c r="I30" s="2"/>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 customHeight="1" outlineLevel="1" x14ac:dyDescent="0.15">
      <c r="A31" s="8"/>
      <c r="B31" s="2"/>
      <c r="C31" s="14"/>
      <c r="D31" s="3"/>
      <c r="E31" s="13"/>
      <c r="F31" s="40"/>
      <c r="G31" s="40"/>
      <c r="H31" s="46"/>
      <c r="I31" s="2"/>
      <c r="J31" s="8"/>
      <c r="K31" s="1"/>
      <c r="L31" s="8"/>
      <c r="M31" s="8"/>
      <c r="N31" s="8"/>
      <c r="O31" s="8"/>
      <c r="P31" s="8"/>
      <c r="Q31" s="8"/>
      <c r="R31" s="8"/>
      <c r="S31" s="8"/>
      <c r="T31" s="8"/>
      <c r="U31" s="8"/>
      <c r="V31" s="8"/>
      <c r="W31" s="8" t="s">
        <v>34</v>
      </c>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 customHeight="1" outlineLevel="1" x14ac:dyDescent="0.15">
      <c r="A32" s="8"/>
      <c r="B32" s="2"/>
      <c r="C32" s="14"/>
      <c r="D32" s="3"/>
      <c r="E32" s="13"/>
      <c r="F32" s="40"/>
      <c r="G32" s="40"/>
      <c r="H32" s="46"/>
      <c r="I32" s="2"/>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5" customHeight="1" outlineLevel="1" x14ac:dyDescent="0.15">
      <c r="A33" s="8"/>
      <c r="B33" s="2"/>
      <c r="C33" s="14"/>
      <c r="D33" s="3"/>
      <c r="E33" s="13"/>
      <c r="F33" s="40"/>
      <c r="G33" s="40"/>
      <c r="H33" s="46"/>
      <c r="I33" s="2"/>
      <c r="J33" s="8"/>
      <c r="K33" s="54"/>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5" customHeight="1" outlineLevel="1" x14ac:dyDescent="0.15">
      <c r="A34" s="8"/>
      <c r="B34" s="2"/>
      <c r="C34" s="14" t="s">
        <v>17</v>
      </c>
      <c r="D34" s="3" t="s">
        <v>4</v>
      </c>
      <c r="E34" s="13"/>
      <c r="F34" s="40">
        <v>45983</v>
      </c>
      <c r="G34" s="40">
        <v>45999</v>
      </c>
      <c r="H34" s="46">
        <f t="shared" si="1"/>
        <v>17</v>
      </c>
      <c r="I34" s="2"/>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5" customHeight="1" outlineLevel="1" thickBot="1" x14ac:dyDescent="0.2">
      <c r="A35" s="8"/>
      <c r="B35" s="2"/>
      <c r="C35" s="14" t="s">
        <v>16</v>
      </c>
      <c r="D35" s="15" t="s">
        <v>4</v>
      </c>
      <c r="E35" s="17"/>
      <c r="F35" s="42">
        <v>45992</v>
      </c>
      <c r="G35" s="43">
        <v>45992</v>
      </c>
      <c r="H35" s="46">
        <f t="shared" si="1"/>
        <v>1</v>
      </c>
      <c r="I35" s="2"/>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55" customFormat="1" ht="25" customHeight="1" x14ac:dyDescent="0.15">
      <c r="A36" s="47"/>
      <c r="B36" s="48"/>
      <c r="C36" s="48" t="s">
        <v>24</v>
      </c>
      <c r="D36" s="49"/>
      <c r="E36" s="50"/>
      <c r="F36" s="51">
        <f>MIN(F37:F49)</f>
        <v>45973</v>
      </c>
      <c r="G36" s="52">
        <f>MAX(G37:G49)</f>
        <v>45999</v>
      </c>
      <c r="H36" s="75">
        <f t="shared" si="1"/>
        <v>27</v>
      </c>
      <c r="I36" s="53"/>
      <c r="J36" s="47"/>
      <c r="K36" s="1"/>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c r="HY36" s="47"/>
      <c r="HZ36" s="47"/>
      <c r="IA36" s="47"/>
      <c r="IB36" s="47"/>
      <c r="IC36" s="47"/>
      <c r="ID36" s="47"/>
      <c r="IE36" s="47"/>
      <c r="IF36" s="47"/>
      <c r="IG36" s="47"/>
      <c r="IH36" s="47"/>
      <c r="II36" s="47"/>
      <c r="IJ36" s="47"/>
      <c r="IK36" s="47"/>
      <c r="IL36" s="47"/>
      <c r="IM36" s="47"/>
      <c r="IN36" s="47"/>
      <c r="IO36" s="47"/>
      <c r="IP36" s="47"/>
      <c r="IQ36" s="47"/>
      <c r="IR36" s="47"/>
      <c r="IS36" s="47"/>
      <c r="IT36" s="47"/>
      <c r="IU36" s="47"/>
      <c r="IV36" s="47"/>
      <c r="IW36" s="47"/>
      <c r="IX36" s="47"/>
    </row>
    <row r="37" spans="1:258" s="9" customFormat="1" ht="45" outlineLevel="1" x14ac:dyDescent="0.15">
      <c r="A37" s="8"/>
      <c r="B37" s="2"/>
      <c r="C37" s="14" t="s">
        <v>32</v>
      </c>
      <c r="D37" s="3" t="s">
        <v>3</v>
      </c>
      <c r="E37" s="12" t="s">
        <v>31</v>
      </c>
      <c r="F37" s="40">
        <v>45973</v>
      </c>
      <c r="G37" s="41">
        <v>45975</v>
      </c>
      <c r="H37" s="77">
        <f t="shared" si="1"/>
        <v>3</v>
      </c>
      <c r="I37" s="78" t="s">
        <v>19</v>
      </c>
      <c r="J37" s="8"/>
      <c r="K37" s="79" t="s">
        <v>36</v>
      </c>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5" customHeight="1" outlineLevel="1" x14ac:dyDescent="0.15">
      <c r="A38" s="8"/>
      <c r="B38" s="2"/>
      <c r="C38" s="14"/>
      <c r="D38" s="3"/>
      <c r="E38" s="12"/>
      <c r="F38" s="40"/>
      <c r="G38" s="40"/>
      <c r="H38" s="77"/>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5" customHeight="1" outlineLevel="1" x14ac:dyDescent="0.15">
      <c r="A39" s="8"/>
      <c r="B39" s="2"/>
      <c r="C39" s="14"/>
      <c r="D39" s="3"/>
      <c r="E39" s="12"/>
      <c r="F39" s="40"/>
      <c r="G39" s="40"/>
      <c r="H39" s="77"/>
      <c r="I39" s="2"/>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5" customHeight="1" outlineLevel="1" x14ac:dyDescent="0.15">
      <c r="A40" s="8"/>
      <c r="B40" s="2"/>
      <c r="C40" s="14"/>
      <c r="D40" s="3"/>
      <c r="E40" s="12"/>
      <c r="F40" s="40"/>
      <c r="G40" s="40"/>
      <c r="H40" s="77"/>
      <c r="I40" s="2"/>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5" customHeight="1" outlineLevel="1" x14ac:dyDescent="0.15">
      <c r="A41" s="8"/>
      <c r="B41" s="2"/>
      <c r="C41" s="14"/>
      <c r="D41" s="3"/>
      <c r="E41" s="12"/>
      <c r="F41" s="40"/>
      <c r="G41" s="40"/>
      <c r="H41" s="77"/>
      <c r="I41" s="2"/>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5" customHeight="1" outlineLevel="1" x14ac:dyDescent="0.15">
      <c r="A42" s="8"/>
      <c r="B42" s="2"/>
      <c r="C42" s="14"/>
      <c r="D42" s="3"/>
      <c r="E42" s="12"/>
      <c r="F42" s="40"/>
      <c r="G42" s="40"/>
      <c r="H42" s="77"/>
      <c r="I42" s="2"/>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5" customHeight="1" outlineLevel="1" x14ac:dyDescent="0.15">
      <c r="A43" s="8"/>
      <c r="B43" s="2"/>
      <c r="C43" s="14"/>
      <c r="D43" s="3"/>
      <c r="E43" s="12"/>
      <c r="F43" s="40"/>
      <c r="G43" s="40"/>
      <c r="H43" s="77"/>
      <c r="I43" s="2"/>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5" customHeight="1" outlineLevel="1" x14ac:dyDescent="0.15">
      <c r="A44" s="8"/>
      <c r="B44" s="2"/>
      <c r="C44" s="14"/>
      <c r="D44" s="3"/>
      <c r="E44" s="12"/>
      <c r="F44" s="40"/>
      <c r="G44" s="40"/>
      <c r="H44" s="77"/>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5" customHeight="1" outlineLevel="1" x14ac:dyDescent="0.15">
      <c r="A45" s="8"/>
      <c r="B45" s="2"/>
      <c r="C45" s="14"/>
      <c r="D45" s="3"/>
      <c r="E45" s="12"/>
      <c r="F45" s="40"/>
      <c r="G45" s="40"/>
      <c r="H45" s="77"/>
      <c r="I45" s="2"/>
      <c r="J45" s="8"/>
      <c r="K45" s="1"/>
      <c r="L45" s="8"/>
      <c r="M45" s="8"/>
      <c r="N45" s="8"/>
      <c r="O45" s="8"/>
      <c r="P45" s="8"/>
      <c r="Q45" s="8"/>
      <c r="R45" s="8"/>
      <c r="S45" s="8"/>
      <c r="T45" s="8"/>
      <c r="U45" s="8"/>
      <c r="V45" s="8"/>
      <c r="W45" s="8" t="s">
        <v>15</v>
      </c>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9" customFormat="1" ht="25" customHeight="1" outlineLevel="1" x14ac:dyDescent="0.15">
      <c r="A46" s="8"/>
      <c r="B46" s="2"/>
      <c r="C46" s="14"/>
      <c r="D46" s="3"/>
      <c r="E46" s="12"/>
      <c r="F46" s="40"/>
      <c r="G46" s="40"/>
      <c r="H46" s="77"/>
      <c r="I46" s="2"/>
      <c r="J46" s="8"/>
      <c r="K46" s="1"/>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row>
    <row r="47" spans="1:258" s="9" customFormat="1" ht="25" customHeight="1" outlineLevel="1" x14ac:dyDescent="0.15">
      <c r="A47" s="8"/>
      <c r="B47" s="2"/>
      <c r="C47" s="14"/>
      <c r="D47" s="3"/>
      <c r="E47" s="12"/>
      <c r="F47" s="40"/>
      <c r="G47" s="40"/>
      <c r="H47" s="77"/>
      <c r="I47" s="2"/>
      <c r="J47" s="8"/>
      <c r="K47" s="54"/>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5" customHeight="1" outlineLevel="1" x14ac:dyDescent="0.15">
      <c r="A48" s="8"/>
      <c r="B48" s="2"/>
      <c r="C48" s="14" t="s">
        <v>17</v>
      </c>
      <c r="D48" s="3" t="s">
        <v>4</v>
      </c>
      <c r="E48" s="13"/>
      <c r="F48" s="40">
        <v>45983</v>
      </c>
      <c r="G48" s="40">
        <v>45999</v>
      </c>
      <c r="H48" s="77">
        <f t="shared" si="1"/>
        <v>17</v>
      </c>
      <c r="I48" s="2"/>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5" customHeight="1" outlineLevel="1" thickBot="1" x14ac:dyDescent="0.2">
      <c r="A49" s="8"/>
      <c r="B49" s="16"/>
      <c r="C49" s="14" t="s">
        <v>16</v>
      </c>
      <c r="D49" s="15" t="s">
        <v>4</v>
      </c>
      <c r="E49" s="17"/>
      <c r="F49" s="42">
        <v>45992</v>
      </c>
      <c r="G49" s="43">
        <v>45992</v>
      </c>
      <c r="H49" s="77">
        <f t="shared" si="1"/>
        <v>1</v>
      </c>
      <c r="I49" s="16"/>
      <c r="J49" s="8"/>
      <c r="K49" s="1"/>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55" customFormat="1" ht="25" customHeight="1" x14ac:dyDescent="0.15">
      <c r="A50" s="47"/>
      <c r="B50" s="68"/>
      <c r="C50" s="68" t="s">
        <v>25</v>
      </c>
      <c r="D50" s="69"/>
      <c r="E50" s="70"/>
      <c r="F50" s="71">
        <f>MIN(F51:F63)</f>
        <v>0</v>
      </c>
      <c r="G50" s="72">
        <f>MAX(G51:G63)</f>
        <v>0</v>
      </c>
      <c r="H50" s="74">
        <f t="shared" si="1"/>
        <v>0</v>
      </c>
      <c r="I50" s="73"/>
      <c r="J50" s="47"/>
      <c r="K50" s="1"/>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47"/>
      <c r="EO50" s="47"/>
      <c r="EP50" s="47"/>
      <c r="EQ50" s="47"/>
      <c r="ER50" s="47"/>
      <c r="ES50" s="47"/>
      <c r="ET50" s="47"/>
      <c r="EU50" s="47"/>
      <c r="EV50" s="47"/>
      <c r="EW50" s="47"/>
      <c r="EX50" s="47"/>
      <c r="EY50" s="47"/>
      <c r="EZ50" s="47"/>
      <c r="FA50" s="47"/>
      <c r="FB50" s="47"/>
      <c r="FC50" s="47"/>
      <c r="FD50" s="47"/>
      <c r="FE50" s="47"/>
      <c r="FF50" s="47"/>
      <c r="FG50" s="47"/>
      <c r="FH50" s="47"/>
      <c r="FI50" s="47"/>
      <c r="FJ50" s="47"/>
      <c r="FK50" s="47"/>
      <c r="FL50" s="47"/>
      <c r="FM50" s="47"/>
      <c r="FN50" s="47"/>
      <c r="FO50" s="47"/>
      <c r="FP50" s="47"/>
      <c r="FQ50" s="47"/>
      <c r="FR50" s="47"/>
      <c r="FS50" s="47"/>
      <c r="FT50" s="47"/>
      <c r="FU50" s="47"/>
      <c r="FV50" s="47"/>
      <c r="FW50" s="47"/>
      <c r="FX50" s="47"/>
      <c r="FY50" s="47"/>
      <c r="FZ50" s="47"/>
      <c r="GA50" s="47"/>
      <c r="GB50" s="47"/>
      <c r="GC50" s="47"/>
      <c r="GD50" s="47"/>
      <c r="GE50" s="47"/>
      <c r="GF50" s="47"/>
      <c r="GG50" s="47"/>
      <c r="GH50" s="47"/>
      <c r="GI50" s="47"/>
      <c r="GJ50" s="47"/>
      <c r="GK50" s="47"/>
      <c r="GL50" s="47"/>
      <c r="GM50" s="47"/>
      <c r="GN50" s="47"/>
      <c r="GO50" s="47"/>
      <c r="GP50" s="47"/>
      <c r="GQ50" s="47"/>
      <c r="GR50" s="47"/>
      <c r="GS50" s="47"/>
      <c r="GT50" s="47"/>
      <c r="GU50" s="47"/>
      <c r="GV50" s="47"/>
      <c r="GW50" s="47"/>
      <c r="GX50" s="47"/>
      <c r="GY50" s="47"/>
      <c r="GZ50" s="47"/>
      <c r="HA50" s="47"/>
      <c r="HB50" s="47"/>
      <c r="HC50" s="47"/>
      <c r="HD50" s="47"/>
      <c r="HE50" s="47"/>
      <c r="HF50" s="47"/>
      <c r="HG50" s="47"/>
      <c r="HH50" s="47"/>
      <c r="HI50" s="47"/>
      <c r="HJ50" s="47"/>
      <c r="HK50" s="47"/>
      <c r="HL50" s="47"/>
      <c r="HM50" s="47"/>
      <c r="HN50" s="47"/>
      <c r="HO50" s="47"/>
      <c r="HP50" s="47"/>
      <c r="HQ50" s="47"/>
      <c r="HR50" s="47"/>
      <c r="HS50" s="47"/>
      <c r="HT50" s="47"/>
      <c r="HU50" s="47"/>
      <c r="HV50" s="47"/>
      <c r="HW50" s="47"/>
      <c r="HX50" s="47"/>
      <c r="HY50" s="47"/>
      <c r="HZ50" s="47"/>
      <c r="IA50" s="47"/>
      <c r="IB50" s="47"/>
      <c r="IC50" s="47"/>
      <c r="ID50" s="47"/>
      <c r="IE50" s="47"/>
      <c r="IF50" s="47"/>
      <c r="IG50" s="47"/>
      <c r="IH50" s="47"/>
      <c r="II50" s="47"/>
      <c r="IJ50" s="47"/>
      <c r="IK50" s="47"/>
      <c r="IL50" s="47"/>
      <c r="IM50" s="47"/>
      <c r="IN50" s="47"/>
      <c r="IO50" s="47"/>
      <c r="IP50" s="47"/>
      <c r="IQ50" s="47"/>
      <c r="IR50" s="47"/>
      <c r="IS50" s="47"/>
      <c r="IT50" s="47"/>
      <c r="IU50" s="47"/>
      <c r="IV50" s="47"/>
      <c r="IW50" s="47"/>
      <c r="IX50" s="47"/>
    </row>
    <row r="51" spans="1:258" s="9" customFormat="1" ht="14" outlineLevel="1" x14ac:dyDescent="0.15">
      <c r="A51" s="8"/>
      <c r="B51" s="2"/>
      <c r="C51" s="14"/>
      <c r="D51" s="3"/>
      <c r="E51" s="13"/>
      <c r="F51" s="40"/>
      <c r="G51" s="40"/>
      <c r="H51" s="33"/>
      <c r="I51" s="2"/>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5" customHeight="1" outlineLevel="1" x14ac:dyDescent="0.15">
      <c r="A52" s="8"/>
      <c r="B52" s="2"/>
      <c r="C52" s="14"/>
      <c r="D52" s="3"/>
      <c r="E52" s="13"/>
      <c r="F52" s="40"/>
      <c r="G52" s="40"/>
      <c r="H52" s="33"/>
      <c r="I52" s="2"/>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5" customHeight="1" outlineLevel="1" x14ac:dyDescent="0.15">
      <c r="A53" s="8"/>
      <c r="B53" s="2"/>
      <c r="C53" s="14"/>
      <c r="D53" s="3"/>
      <c r="E53" s="13"/>
      <c r="F53" s="40"/>
      <c r="G53" s="40"/>
      <c r="H53" s="33"/>
      <c r="I53" s="2"/>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5" customHeight="1" outlineLevel="1" x14ac:dyDescent="0.15">
      <c r="A54" s="8"/>
      <c r="B54" s="2"/>
      <c r="C54" s="14"/>
      <c r="D54" s="3"/>
      <c r="E54" s="13"/>
      <c r="F54" s="40"/>
      <c r="G54" s="40"/>
      <c r="H54" s="33"/>
      <c r="I54" s="2"/>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5" customHeight="1" outlineLevel="1" x14ac:dyDescent="0.15">
      <c r="A55" s="8"/>
      <c r="B55" s="2"/>
      <c r="C55" s="14"/>
      <c r="D55" s="3"/>
      <c r="E55" s="13"/>
      <c r="F55" s="40"/>
      <c r="G55" s="40"/>
      <c r="H55" s="33"/>
      <c r="I55" s="2"/>
      <c r="J55" s="8"/>
      <c r="K55" s="1"/>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5" customHeight="1" outlineLevel="1" x14ac:dyDescent="0.15">
      <c r="A56" s="8"/>
      <c r="B56" s="2"/>
      <c r="C56" s="14"/>
      <c r="D56" s="3"/>
      <c r="E56" s="13"/>
      <c r="F56" s="40"/>
      <c r="G56" s="40"/>
      <c r="H56" s="33"/>
      <c r="I56" s="2"/>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5" customHeight="1" outlineLevel="1" x14ac:dyDescent="0.15">
      <c r="A57" s="8"/>
      <c r="B57" s="2"/>
      <c r="C57" s="14"/>
      <c r="D57" s="3"/>
      <c r="E57" s="13"/>
      <c r="F57" s="40"/>
      <c r="G57" s="40"/>
      <c r="H57" s="33"/>
      <c r="I57" s="2"/>
      <c r="J57" s="8"/>
      <c r="K57" s="1"/>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5" customHeight="1" outlineLevel="1" x14ac:dyDescent="0.15">
      <c r="A58" s="8"/>
      <c r="B58" s="2"/>
      <c r="C58" s="14"/>
      <c r="D58" s="3"/>
      <c r="E58" s="13"/>
      <c r="F58" s="40"/>
      <c r="G58" s="40"/>
      <c r="H58" s="33"/>
      <c r="I58" s="2"/>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5" customHeight="1" outlineLevel="1" x14ac:dyDescent="0.15">
      <c r="A59" s="8"/>
      <c r="B59" s="2"/>
      <c r="C59" s="14"/>
      <c r="D59" s="3"/>
      <c r="E59" s="13"/>
      <c r="F59" s="40"/>
      <c r="G59" s="40"/>
      <c r="H59" s="33"/>
      <c r="I59" s="2"/>
      <c r="J59" s="8"/>
      <c r="K59" s="1"/>
      <c r="L59" s="8"/>
      <c r="M59" s="8"/>
      <c r="N59" s="8"/>
      <c r="O59" s="8"/>
      <c r="P59" s="8"/>
      <c r="Q59" s="8"/>
      <c r="R59" s="8"/>
      <c r="S59" s="8"/>
      <c r="T59" s="8"/>
      <c r="U59" s="8"/>
      <c r="V59" s="8"/>
      <c r="W59" s="44"/>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9" customFormat="1" ht="25" customHeight="1" outlineLevel="1" x14ac:dyDescent="0.15">
      <c r="A60" s="8"/>
      <c r="B60" s="2"/>
      <c r="C60" s="14"/>
      <c r="D60" s="3"/>
      <c r="E60" s="13"/>
      <c r="F60" s="40"/>
      <c r="G60" s="40"/>
      <c r="H60" s="33"/>
      <c r="I60" s="2"/>
      <c r="J60" s="8"/>
      <c r="K60" s="1"/>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row>
    <row r="61" spans="1:258" s="9" customFormat="1" ht="25" customHeight="1" outlineLevel="1" x14ac:dyDescent="0.15">
      <c r="A61" s="8"/>
      <c r="B61" s="2"/>
      <c r="C61" s="14"/>
      <c r="D61" s="3"/>
      <c r="E61" s="13"/>
      <c r="F61" s="40"/>
      <c r="G61" s="40"/>
      <c r="H61" s="33"/>
      <c r="I61" s="2"/>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5" customHeight="1" outlineLevel="1" x14ac:dyDescent="0.15">
      <c r="A62" s="8"/>
      <c r="B62" s="2"/>
      <c r="C62" s="14"/>
      <c r="D62" s="3"/>
      <c r="E62" s="13"/>
      <c r="F62" s="40"/>
      <c r="G62" s="40"/>
      <c r="H62" s="33"/>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5" customHeight="1" outlineLevel="1" thickBot="1" x14ac:dyDescent="0.2">
      <c r="A63" s="8"/>
      <c r="B63" s="16"/>
      <c r="C63" s="14"/>
      <c r="D63" s="15"/>
      <c r="E63" s="17"/>
      <c r="F63" s="42"/>
      <c r="G63" s="43"/>
      <c r="H63" s="33"/>
      <c r="I63" s="16"/>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ht="300" customHeight="1" x14ac:dyDescent="0.15">
      <c r="A64" s="1"/>
      <c r="B64" s="1"/>
      <c r="C64" s="1"/>
      <c r="D64" s="1"/>
      <c r="E64" s="1"/>
      <c r="F64" s="36"/>
      <c r="G64" s="36"/>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ht="300" customHeight="1" x14ac:dyDescent="0.15">
      <c r="A65" s="1"/>
      <c r="B65" s="1"/>
      <c r="C65" s="1"/>
      <c r="D65" s="1"/>
      <c r="E65" s="1"/>
      <c r="F65" s="36"/>
      <c r="G65" s="36"/>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15">
      <c r="A66" s="1"/>
      <c r="B66" s="1"/>
      <c r="C66" s="1"/>
      <c r="D66" s="1"/>
      <c r="E66" s="1"/>
      <c r="F66" s="36"/>
      <c r="G66" s="36"/>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15">
      <c r="A67" s="1"/>
      <c r="B67" s="1"/>
      <c r="C67" s="1"/>
      <c r="D67" s="1"/>
      <c r="E67" s="1"/>
      <c r="F67" s="36"/>
      <c r="G67" s="36"/>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15">
      <c r="A68" s="1"/>
      <c r="B68" s="1"/>
      <c r="C68" s="1"/>
      <c r="D68" s="1"/>
      <c r="E68" s="1"/>
      <c r="F68" s="36"/>
      <c r="G68" s="36"/>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15">
      <c r="A69" s="1"/>
      <c r="B69" s="1"/>
      <c r="C69" s="1"/>
      <c r="D69" s="1"/>
      <c r="E69" s="1"/>
      <c r="F69" s="36"/>
      <c r="G69" s="36"/>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15">
      <c r="A70" s="1"/>
      <c r="B70" s="1"/>
      <c r="C70" s="1"/>
      <c r="D70" s="1"/>
      <c r="E70" s="1"/>
      <c r="F70" s="36"/>
      <c r="G70" s="36"/>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15">
      <c r="A71" s="1"/>
      <c r="B71" s="1"/>
      <c r="C71" s="1"/>
      <c r="D71" s="1"/>
      <c r="E71" s="1"/>
      <c r="F71" s="36"/>
      <c r="G71" s="36"/>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15">
      <c r="A72" s="1"/>
      <c r="B72" s="1"/>
      <c r="C72" s="1"/>
      <c r="D72" s="1"/>
      <c r="E72" s="1"/>
      <c r="F72" s="36"/>
      <c r="G72" s="36"/>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15">
      <c r="A73" s="1"/>
      <c r="B73" s="1"/>
      <c r="C73" s="1"/>
      <c r="D73" s="1"/>
      <c r="E73" s="1"/>
      <c r="F73" s="36"/>
      <c r="G73" s="36"/>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15">
      <c r="A74" s="1"/>
      <c r="B74" s="1"/>
      <c r="C74" s="1"/>
      <c r="D74" s="1"/>
      <c r="E74" s="1"/>
      <c r="F74" s="36"/>
      <c r="G74" s="36"/>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15">
      <c r="A75" s="1"/>
      <c r="B75" s="1"/>
      <c r="C75" s="1"/>
      <c r="D75" s="1"/>
      <c r="E75" s="1"/>
      <c r="F75" s="36"/>
      <c r="G75" s="36"/>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36"/>
      <c r="G76" s="3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36"/>
      <c r="G77" s="3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36"/>
      <c r="G78" s="3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15">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15">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15">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15">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15">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15">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15">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15">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15">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15">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15">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15">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15">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15">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15">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15">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x14ac:dyDescent="0.15">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x14ac:dyDescent="0.15">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x14ac:dyDescent="0.15">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x14ac:dyDescent="0.15">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x14ac:dyDescent="0.15">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x14ac:dyDescent="0.15">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x14ac:dyDescent="0.15">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x14ac:dyDescent="0.15">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x14ac:dyDescent="0.15">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x14ac:dyDescent="0.15">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x14ac:dyDescent="0.15">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x14ac:dyDescent="0.15">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x14ac:dyDescent="0.15">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x14ac:dyDescent="0.15">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x14ac:dyDescent="0.15">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x14ac:dyDescent="0.15">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82" x14ac:dyDescent="0.15">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82" x14ac:dyDescent="0.15">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82" x14ac:dyDescent="0.15">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82" x14ac:dyDescent="0.15">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15">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15">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15">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15">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15">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15">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15">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15">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15">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15">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15">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15">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15">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15">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15">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15">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15">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15">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15">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15">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15">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15">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15">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x14ac:dyDescent="0.15">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x14ac:dyDescent="0.15">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x14ac:dyDescent="0.15">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x14ac:dyDescent="0.15">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x14ac:dyDescent="0.15">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x14ac:dyDescent="0.15">
      <c r="A1107" s="1"/>
      <c r="B1107" s="1"/>
      <c r="C1107" s="1"/>
      <c r="D1107" s="1"/>
      <c r="E1107" s="1"/>
      <c r="F1107" s="36"/>
      <c r="G1107" s="36"/>
      <c r="H1107" s="1"/>
      <c r="I1107" s="1"/>
      <c r="J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x14ac:dyDescent="0.15">
      <c r="A1108" s="1"/>
      <c r="B1108" s="1"/>
      <c r="C1108" s="1"/>
      <c r="D1108" s="1"/>
      <c r="E1108" s="1"/>
      <c r="F1108" s="36"/>
      <c r="G1108" s="36"/>
      <c r="H1108" s="1"/>
      <c r="I1108" s="1"/>
      <c r="J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x14ac:dyDescent="0.15">
      <c r="A1109" s="1"/>
      <c r="B1109" s="1"/>
      <c r="C1109" s="1"/>
      <c r="D1109" s="1"/>
      <c r="E1109" s="1"/>
      <c r="F1109" s="36"/>
      <c r="G1109" s="36"/>
      <c r="H1109" s="1"/>
      <c r="I1109" s="1"/>
      <c r="J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sheetData>
  <phoneticPr fontId="3" type="noConversion"/>
  <conditionalFormatting sqref="D8:D63">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8:D63" xr:uid="{FAB73A35-6353-0041-8874-8B5EFE2E105A}">
      <formula1>$K$8:$K$11</formula1>
    </dataValidation>
  </dataValidations>
  <pageMargins left="0.3" right="0.3" top="0.3" bottom="0.3" header="0" footer="0"/>
  <pageSetup scale="70" fitToHeight="0" orientation="landscape"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6" customWidth="1"/>
    <col min="2" max="2" width="88.33203125" style="6" customWidth="1"/>
    <col min="3" max="16384" width="10.83203125" style="6"/>
  </cols>
  <sheetData>
    <row r="2" spans="2:2" ht="102" x14ac:dyDescent="0.2">
      <c r="B2" s="5" t="s">
        <v>1</v>
      </c>
    </row>
    <row r="4" spans="2:2" x14ac:dyDescent="0.2">
      <c r="B4" s="6" t="s">
        <v>18</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Tsunamis</vt:lpstr>
      <vt:lpstr>-Disclaimer-</vt:lpstr>
      <vt:lpstr>Tsunamis!Print_Area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Andrea Edwards</cp:lastModifiedBy>
  <dcterms:created xsi:type="dcterms:W3CDTF">2015-02-24T20:54:23Z</dcterms:created>
  <dcterms:modified xsi:type="dcterms:W3CDTF">2025-11-28T05:23:10Z</dcterms:modified>
</cp:coreProperties>
</file>